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資料" sheetId="1" state="visible" r:id="rId1"/>
    <sheet xmlns:r="http://schemas.openxmlformats.org/officeDocument/2006/relationships" name="融資維持率走勢" sheetId="2" state="visible" r:id="rId2"/>
    <sheet xmlns:r="http://schemas.openxmlformats.org/officeDocument/2006/relationships" name="統計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2C2C2C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color rgb="00C00000"/>
      <sz val="9"/>
    </font>
    <font>
      <name val="Arial"/>
      <b val="1"/>
      <color rgb="002C2C2C"/>
      <sz val="13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0070C0"/>
      <sz val="10"/>
    </font>
    <font>
      <name val="Arial"/>
      <color rgb="000070C0"/>
      <sz val="10"/>
    </font>
  </fonts>
  <fills count="8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10" customWidth="1" min="4" max="4"/>
    <col width="40" customWidth="1" min="5" max="5"/>
    <col width="8" customWidth="1" min="6" max="6"/>
  </cols>
  <sheetData>
    <row r="1" ht="30" customHeight="1">
      <c r="A1" s="1" t="inlineStr">
        <is>
          <t>阿斯匹靈 台股借券融資關鍵數據 2026 Q1</t>
        </is>
      </c>
    </row>
    <row r="2" ht="18" customHeight="1">
      <c r="A2" s="2" t="inlineStr">
        <is>
          <t>資料來源: scantrader.com/u/9769 (阿斯匹靈) | 共 61 個交易日 | 2026-01-02 ~ 2026-04-10</t>
        </is>
      </c>
    </row>
    <row r="3" ht="32" customHeight="1">
      <c r="A3" s="3" t="inlineStr">
        <is>
          <t>日期</t>
        </is>
      </c>
      <c r="B3" s="3" t="inlineStr">
        <is>
          <t>同步偏多標的
(外資買超∩借券減少)</t>
        </is>
      </c>
      <c r="C3" s="3" t="inlineStr">
        <is>
          <t>同步偏空標的
(外資賣超∩借券增加)</t>
        </is>
      </c>
      <c r="D3" s="3" t="inlineStr">
        <is>
          <t>融資維持率</t>
        </is>
      </c>
      <c r="E3" s="3" t="inlineStr">
        <is>
          <t>融資減法人買 Top5</t>
        </is>
      </c>
      <c r="F3" s="3" t="inlineStr">
        <is>
          <t>警示</t>
        </is>
      </c>
    </row>
    <row r="4" ht="28" customHeight="1">
      <c r="A4" s="4" t="inlineStr">
        <is>
          <t>2026-01-02</t>
        </is>
      </c>
      <c r="B4" s="5" t="inlineStr">
        <is>
          <t>聯電,華邦電,華航,陽明,中租-KY,京元電子,和碩</t>
        </is>
      </c>
      <c r="C4" s="5" t="inlineStr">
        <is>
          <t>玉山金,宏碁,大成鋼,亞泥,友達,華南金,南亞,華通,統一,台塑,可寧衛*,台灣大</t>
        </is>
      </c>
      <c r="D4" s="4" t="n">
        <v>168</v>
      </c>
      <c r="E4" s="5" t="inlineStr">
        <is>
          <t>南亞科,聯發科,廣達,致茂,華星光</t>
        </is>
      </c>
      <c r="F4" s="4" t="inlineStr"/>
    </row>
    <row r="5" ht="28" customHeight="1">
      <c r="A5" s="6" t="inlineStr">
        <is>
          <t>2026-01-05</t>
        </is>
      </c>
      <c r="B5" s="7" t="inlineStr">
        <is>
          <t>緒創,華邦電,聯電,華航,和碩,中租-KY,長榮航</t>
        </is>
      </c>
      <c r="C5" s="7" t="inlineStr">
        <is>
          <t>玉山金,宏碁,亞泥,大成鋼,友達,可寧衛*,台塑,統一,康舒,台灣大</t>
        </is>
      </c>
      <c r="D5" s="6" t="n">
        <v>169</v>
      </c>
      <c r="E5" s="7" t="inlineStr">
        <is>
          <t>國巨*,聯發科,緒創,賣聰-KY,愛普*</t>
        </is>
      </c>
      <c r="F5" s="6" t="inlineStr"/>
    </row>
    <row r="6" ht="28" customHeight="1">
      <c r="A6" s="8" t="inlineStr">
        <is>
          <t>2026-01-06</t>
        </is>
      </c>
      <c r="B6" s="9" t="inlineStr">
        <is>
          <t>華邦電,華航,陽明,中租-KY,京元電子,和碩</t>
        </is>
      </c>
      <c r="C6" s="9" t="inlineStr">
        <is>
          <t>玉山金,宏碁,亞泥,大成鋼,友達,群創,中鋼,台塑,統一,元太</t>
        </is>
      </c>
      <c r="D6" s="10" t="n">
        <v>171</v>
      </c>
      <c r="E6" s="9" t="inlineStr">
        <is>
          <t>國巨*,聯發科,緒創,賣聰-KY,愛普*</t>
        </is>
      </c>
      <c r="F6" s="11" t="inlineStr">
        <is>
          <t>⚠️</t>
        </is>
      </c>
    </row>
    <row r="7" ht="28" customHeight="1">
      <c r="A7" s="6" t="inlineStr">
        <is>
          <t>2026-01-07</t>
        </is>
      </c>
      <c r="B7" s="7" t="inlineStr">
        <is>
          <t>聯電,華航,神達,世界,陽明,金寶,和碩</t>
        </is>
      </c>
      <c r="C7" s="7" t="inlineStr">
        <is>
          <t>玉山金,宏碁,亞泥,大成鋼,友達,華南金,南亞,華通,統一,台塑</t>
        </is>
      </c>
      <c r="D7" s="6" t="n">
        <v>169</v>
      </c>
      <c r="E7" s="7" t="inlineStr">
        <is>
          <t>南亞科,聯發科,廣達,致茂,華星光</t>
        </is>
      </c>
      <c r="F7" s="6" t="inlineStr"/>
    </row>
    <row r="8" ht="28" customHeight="1">
      <c r="A8" s="4" t="inlineStr">
        <is>
          <t>2026-01-08</t>
        </is>
      </c>
      <c r="B8" s="5" t="inlineStr">
        <is>
          <t>南亞,世界,神達,寶成,國巨*,華航,旺宏,和碩</t>
        </is>
      </c>
      <c r="C8" s="5" t="inlineStr">
        <is>
          <t>玉山金,宏碁,大成鋼,亞泥,友達,華南金,南亞,華通,統一,台塑</t>
        </is>
      </c>
      <c r="D8" s="4" t="n">
        <v>168</v>
      </c>
      <c r="E8" s="5" t="inlineStr">
        <is>
          <t>南亞科,聯發科,廣達,致茂,華星光</t>
        </is>
      </c>
      <c r="F8" s="4" t="inlineStr"/>
    </row>
    <row r="9" ht="28" customHeight="1">
      <c r="A9" s="6" t="inlineStr">
        <is>
          <t>2026-01-09</t>
        </is>
      </c>
      <c r="B9" s="7" t="inlineStr">
        <is>
          <t>南亞,華新,世界,國巨*,寶成,陽明,華航,旺宏,神達</t>
        </is>
      </c>
      <c r="C9" s="7" t="inlineStr">
        <is>
          <t>玉山金,宏碁,亞泥,大成鋼,友達,可寧衛*,台塑,統一,康舒,台灣大</t>
        </is>
      </c>
      <c r="D9" s="6" t="n">
        <v>167</v>
      </c>
      <c r="E9" s="7" t="inlineStr">
        <is>
          <t>旺宏,創意,南亞科,日月光投控,群聯</t>
        </is>
      </c>
      <c r="F9" s="6" t="inlineStr"/>
    </row>
    <row r="10" ht="28" customHeight="1">
      <c r="A10" s="8" t="inlineStr">
        <is>
          <t>2026-01-12</t>
        </is>
      </c>
      <c r="B10" s="9" t="inlineStr">
        <is>
          <t>南亞,華新,世界,金寶,旺宏,寶成,國巨*</t>
        </is>
      </c>
      <c r="C10" s="9" t="inlineStr">
        <is>
          <t>玉山金,宏碁,亞泥,大成鋼,友達,可寧衛*,台塑,統一,康舒,台灣大</t>
        </is>
      </c>
      <c r="D10" s="10" t="n">
        <v>170</v>
      </c>
      <c r="E10" s="9" t="inlineStr">
        <is>
          <t>國巨*,華城,南亞科,華邦電,信驛</t>
        </is>
      </c>
      <c r="F10" s="11" t="inlineStr">
        <is>
          <t>⚠️</t>
        </is>
      </c>
    </row>
    <row r="11" ht="28" customHeight="1">
      <c r="A11" s="6" t="inlineStr">
        <is>
          <t>2026-01-13</t>
        </is>
      </c>
      <c r="B11" s="7" t="inlineStr">
        <is>
          <t>聯電,南亞,可寧衛*,金寶,康舒,華新,世界,國巨*,旺宏,國泰金,中信金</t>
        </is>
      </c>
      <c r="C11" s="7" t="inlineStr">
        <is>
          <t>南亞,長榮航,國泰金,中信金,聯電,華航,陽明,中租-KY,旺宏,世界</t>
        </is>
      </c>
      <c r="D11" s="6" t="n">
        <v>169</v>
      </c>
      <c r="E11" s="7" t="inlineStr">
        <is>
          <t>聯發科,高力,亞翔,聯電,台光電</t>
        </is>
      </c>
      <c r="F11" s="6" t="inlineStr"/>
    </row>
    <row r="12" ht="28" customHeight="1">
      <c r="A12" s="8" t="inlineStr">
        <is>
          <t>2026-01-14</t>
        </is>
      </c>
      <c r="B12" s="9" t="inlineStr">
        <is>
          <t>聯電,康舒,金寶,南亞,華航,華邦電,世界,旺宏,中信金,可寧衛*</t>
        </is>
      </c>
      <c r="C12" s="9" t="inlineStr">
        <is>
          <t>友達,玉山金,中銅,臺企銀,南茂,彩晶,富瀚,上海商銀</t>
        </is>
      </c>
      <c r="D12" s="10" t="n">
        <v>171</v>
      </c>
      <c r="E12" s="9" t="inlineStr">
        <is>
          <t>力成,漢唐,台光電,聯發科,高力</t>
        </is>
      </c>
      <c r="F12" s="11" t="inlineStr">
        <is>
          <t>⚠️</t>
        </is>
      </c>
    </row>
    <row r="13" ht="28" customHeight="1">
      <c r="A13" s="8" t="inlineStr">
        <is>
          <t>2026-01-15</t>
        </is>
      </c>
      <c r="B13" s="9" t="inlineStr">
        <is>
          <t>台新新光金,聯電,南亞,可寧衛*,華航,金寶,華新,中信金,旺宏,廣達,中石化</t>
        </is>
      </c>
      <c r="C13" s="9" t="inlineStr">
        <is>
          <t>友達,群創,玉山金,彩晶,大同,上海商銀,南茂,穩懋</t>
        </is>
      </c>
      <c r="D13" s="10" t="n">
        <v>170</v>
      </c>
      <c r="E13" s="9" t="inlineStr">
        <is>
          <t>智邦,創意,康舒,佳邦,聯電</t>
        </is>
      </c>
      <c r="F13" s="11" t="inlineStr">
        <is>
          <t>⚠️</t>
        </is>
      </c>
    </row>
    <row r="14" ht="28" customHeight="1">
      <c r="A14" s="8" t="inlineStr">
        <is>
          <t>2026-01-16</t>
        </is>
      </c>
      <c r="B14" s="9" t="inlineStr">
        <is>
          <t>台新新光金,南亞,聯電,華航,台塑,康舒,台化,金寶,長榮航,國泰金,中石化,世界</t>
        </is>
      </c>
      <c r="C14" s="9" t="inlineStr">
        <is>
          <t>友達,群創,東元,玉山金,彩晶,大同,上海商銀,南茂</t>
        </is>
      </c>
      <c r="D14" s="10" t="n">
        <v>172</v>
      </c>
      <c r="E14" s="9" t="inlineStr">
        <is>
          <t>台積電,美時,富瀚,廣達,聯發科</t>
        </is>
      </c>
      <c r="F14" s="11" t="inlineStr">
        <is>
          <t>⚠️</t>
        </is>
      </c>
    </row>
    <row r="15" ht="28" customHeight="1">
      <c r="A15" s="8" t="inlineStr">
        <is>
          <t>2026-01-19</t>
        </is>
      </c>
      <c r="B15" s="9" t="inlineStr">
        <is>
          <t>台新新光金,聯電,南亞,華航,康舒,台化,台塑,國泰金,中石化,富邦金</t>
        </is>
      </c>
      <c r="C15" s="9" t="inlineStr">
        <is>
          <t>友達,群創,東元,大同,彩晶,上海商銀</t>
        </is>
      </c>
      <c r="D15" s="10" t="n">
        <v>174</v>
      </c>
      <c r="E15" s="9" t="inlineStr">
        <is>
          <t>富瀚,健策,華星光,光寶,高力</t>
        </is>
      </c>
      <c r="F15" s="11" t="inlineStr">
        <is>
          <t>⚠️</t>
        </is>
      </c>
    </row>
    <row r="16" ht="28" customHeight="1">
      <c r="A16" s="8" t="inlineStr">
        <is>
          <t>2026-01-20</t>
        </is>
      </c>
      <c r="B16" s="9" t="inlineStr">
        <is>
          <t>聯電,台新新光金,台塑,南亞,台塑,長榮航,台化,康舒,富邦金,國泰金,中石化,泰金寶-DR,玻茂</t>
        </is>
      </c>
      <c r="C16" s="9" t="inlineStr">
        <is>
          <t>綠創,友達,群創,東元,大同,彩晶,中銅,合庫金,台中銀,上海商銀</t>
        </is>
      </c>
      <c r="D16" s="10" t="n">
        <v>174</v>
      </c>
      <c r="E16" s="9" t="inlineStr">
        <is>
          <t>台玻,南電,富香,旺宏,台達電</t>
        </is>
      </c>
      <c r="F16" s="11" t="inlineStr">
        <is>
          <t>⚠️</t>
        </is>
      </c>
    </row>
    <row r="17" ht="28" customHeight="1">
      <c r="A17" s="6" t="inlineStr">
        <is>
          <t>2026-01-21</t>
        </is>
      </c>
      <c r="B17" s="7" t="inlineStr">
        <is>
          <t>聯電,台玻,台新新光金,南亞,長榮航,台塑,台化,國泰金,泰金寶-DR,康舒,玻茂,富邦金</t>
        </is>
      </c>
      <c r="C17" s="7" t="inlineStr">
        <is>
          <t>群創,綠創,友達,東元,宏碁,大同,中銅,合庫金,彩晶</t>
        </is>
      </c>
      <c r="D17" s="6" t="n">
        <v>169</v>
      </c>
      <c r="E17" s="7" t="inlineStr">
        <is>
          <t>健策,啟碁,富瀚,穩懋,創意</t>
        </is>
      </c>
      <c r="F17" s="6" t="inlineStr"/>
    </row>
    <row r="18" ht="28" customHeight="1">
      <c r="A18" s="8" t="inlineStr">
        <is>
          <t>2026-01-22</t>
        </is>
      </c>
      <c r="B18" s="9" t="inlineStr">
        <is>
          <t>聯電,長榮航,華航,台玻,台塑,南亞,富瀚,國泰金,泰金寶-DR,玻茂,台化,大昌</t>
        </is>
      </c>
      <c r="C18" s="9" t="inlineStr">
        <is>
          <t>群創,友達,綠創,鴻海,中銅,大同,台泥,合庫金,宏碁,彩晶</t>
        </is>
      </c>
      <c r="D18" s="10" t="n">
        <v>172</v>
      </c>
      <c r="E18" s="9" t="inlineStr">
        <is>
          <t>群聯,中興電,台煜,尖點,金居</t>
        </is>
      </c>
      <c r="F18" s="11" t="inlineStr">
        <is>
          <t>⚠️</t>
        </is>
      </c>
    </row>
    <row r="19" ht="28" customHeight="1">
      <c r="A19" s="8" t="inlineStr">
        <is>
          <t>2026-01-23</t>
        </is>
      </c>
      <c r="B19" s="9" t="inlineStr">
        <is>
          <t>聯電,台玻,長榮航,華航,台塑,啟碁,富瀚,台化,南亞,泰金寶-DR,中石化</t>
        </is>
      </c>
      <c r="C19" s="9" t="inlineStr">
        <is>
          <t>友達,群創,綠創,鴻海,可寧衛*,台泥,兆豐金,合庫金,宏碁,大同,彩晶,東元,台中銀</t>
        </is>
      </c>
      <c r="D19" s="10" t="n">
        <v>172</v>
      </c>
      <c r="E19" s="9" t="inlineStr">
        <is>
          <t>創意,聯電,旺宏,台燿,南亞</t>
        </is>
      </c>
      <c r="F19" s="11" t="inlineStr">
        <is>
          <t>⚠️</t>
        </is>
      </c>
    </row>
    <row r="20" ht="28" customHeight="1">
      <c r="A20" s="8" t="inlineStr">
        <is>
          <t>2026-01-26</t>
        </is>
      </c>
      <c r="B20" s="9" t="inlineStr">
        <is>
          <t>聯電,台玻,長榮航,華航,南亞,台塑,敬鵲,台化,金寶,中興電</t>
        </is>
      </c>
      <c r="C20" s="9" t="inlineStr">
        <is>
          <t>群創,友達,緯創,鴻海,台泥,宏磊,合庫金,彩晶,光磊金,台中銀</t>
        </is>
      </c>
      <c r="D20" s="10" t="n">
        <v>174</v>
      </c>
      <c r="E20" s="9" t="inlineStr">
        <is>
          <t>台硝,奇銳,燿華,台光電,昇達科</t>
        </is>
      </c>
      <c r="F20" s="11" t="inlineStr">
        <is>
          <t>⚠️</t>
        </is>
      </c>
    </row>
    <row r="21" ht="28" customHeight="1">
      <c r="A21" s="8" t="inlineStr">
        <is>
          <t>2026-01-27</t>
        </is>
      </c>
      <c r="B21" s="9" t="inlineStr">
        <is>
          <t>聯電,華航,南亞,台塑,長榮航,台化,燿華,台新新光金</t>
        </is>
      </c>
      <c r="C21" s="9" t="inlineStr">
        <is>
          <t>友達,群創,緯創,台泥,宏磊,彩晶,鴻海,茂美達</t>
        </is>
      </c>
      <c r="D21" s="10" t="n">
        <v>173</v>
      </c>
      <c r="E21" s="9" t="inlineStr">
        <is>
          <t>台積電,聯發科,榮華榮,群創,吋伐</t>
        </is>
      </c>
      <c r="F21" s="11" t="inlineStr">
        <is>
          <t>⚠️</t>
        </is>
      </c>
    </row>
    <row r="22" ht="28" customHeight="1">
      <c r="A22" s="8" t="inlineStr">
        <is>
          <t>2026-01-28</t>
        </is>
      </c>
      <c r="B22" s="9" t="inlineStr">
        <is>
          <t>聯電,南亞,台塑,華航,台化,台新新光金,中石化</t>
        </is>
      </c>
      <c r="C22" s="9" t="inlineStr">
        <is>
          <t>友達,緯創,富喬,群創,宏磊,臺企銀,彩晶,台泥,台中銀,茂業達,光豐金</t>
        </is>
      </c>
      <c r="D22" s="10" t="n">
        <v>175</v>
      </c>
      <c r="E22" s="9" t="inlineStr">
        <is>
          <t>台積電,企像電,南亞,台達電,華星光</t>
        </is>
      </c>
      <c r="F22" s="11" t="inlineStr">
        <is>
          <t>⚠️</t>
        </is>
      </c>
    </row>
    <row r="23" ht="28" customHeight="1">
      <c r="A23" s="8" t="inlineStr">
        <is>
          <t>2026-01-29</t>
        </is>
      </c>
      <c r="B23" s="9" t="inlineStr">
        <is>
          <t>聯電,台新新光金,華航,南亞,旺宏,大同,台塑,國泰金,華新,台化</t>
        </is>
      </c>
      <c r="C23" s="9" t="inlineStr">
        <is>
          <t>緯創,茂業達,宏磊,力積電,富喬,臺企銀,彩晶,台中銀,微星,中工,佳世達</t>
        </is>
      </c>
      <c r="D23" s="10" t="n">
        <v>173</v>
      </c>
      <c r="E23" s="9" t="inlineStr">
        <is>
          <t>奇銳,旺宏,光聖,創意,聯邦</t>
        </is>
      </c>
      <c r="F23" s="11" t="inlineStr">
        <is>
          <t>⚠️</t>
        </is>
      </c>
    </row>
    <row r="24" ht="28" customHeight="1">
      <c r="A24" s="8" t="inlineStr">
        <is>
          <t>2026-01-30</t>
        </is>
      </c>
      <c r="B24" s="9" t="inlineStr">
        <is>
          <t>聯電,台新新光金,南亞,華新,玉山金,國泰金,大同,一誌,大成鋼,台塑</t>
        </is>
      </c>
      <c r="C24" s="9" t="inlineStr">
        <is>
          <t>宏磊,緯創,友達,臺企銀,富喬,彩晶,台中銀,微星,中工,佳世達,奉金寶-DR,光豐金</t>
        </is>
      </c>
      <c r="D24" s="10" t="n">
        <v>171</v>
      </c>
      <c r="E24" s="9" t="inlineStr">
        <is>
          <t>南亞科,彌華,聯電,金像電,光聖</t>
        </is>
      </c>
      <c r="F24" s="11" t="inlineStr">
        <is>
          <t>⚠️</t>
        </is>
      </c>
    </row>
    <row r="25" ht="28" customHeight="1">
      <c r="A25" s="6" t="inlineStr">
        <is>
          <t>2026-02-02</t>
        </is>
      </c>
      <c r="B25" s="7" t="inlineStr">
        <is>
          <t>旺宏,台新新光金,大同,中信金,國泰金,南亞,南茂,玉山金,蟳茂</t>
        </is>
      </c>
      <c r="C25" s="7" t="inlineStr">
        <is>
          <t>宏磊,臺企銀,友達,富喬,緯創,台中銀,鴻海,中工,奉金寶-DR,第一金,微星,燿華,遠東銀,光豐金</t>
        </is>
      </c>
      <c r="D25" s="6" t="n">
        <v>165</v>
      </c>
      <c r="E25" s="7" t="inlineStr">
        <is>
          <t>奇銳,買聯-KY,旺宏,長興,威剛</t>
        </is>
      </c>
      <c r="F25" s="6" t="inlineStr"/>
    </row>
    <row r="26" ht="28" customHeight="1">
      <c r="A26" s="4" t="inlineStr">
        <is>
          <t>2026-02-03</t>
        </is>
      </c>
      <c r="B26" s="5" t="inlineStr">
        <is>
          <t>中銅,旺宏,南亞,國泰金,可寧衛*,南茂,大同,世界,燿華,長榮航,台新新光金</t>
        </is>
      </c>
      <c r="C26" s="5" t="inlineStr">
        <is>
          <t>台玻,中銅,大同,長榮航,玉山金,國泰金,中石化,一誌,金寶,南亞,台塑,大成鋼,廣達,大亞,可寧衛*,蟳茂,華通,南茂</t>
        </is>
      </c>
      <c r="D26" s="4" t="n">
        <v>169</v>
      </c>
      <c r="E26" s="5" t="inlineStr">
        <is>
          <t>台積電,奇銳,聯電,力積電,華新</t>
        </is>
      </c>
      <c r="F26" s="4" t="inlineStr"/>
    </row>
    <row r="27" ht="28" customHeight="1">
      <c r="A27" s="6" t="inlineStr">
        <is>
          <t>2026-02-04</t>
        </is>
      </c>
      <c r="B27" s="7" t="inlineStr">
        <is>
          <t>中銅,華航,南亞,國泰金,可寧衛*,南茂,大同,燿華,台新新光金,台塑</t>
        </is>
      </c>
      <c r="C27" s="7" t="inlineStr">
        <is>
          <t>台玻,友達,群創,富喬,臺企銀,緯創,台泥,彩晶,中工,光磊金,光豐金,台中銀</t>
        </is>
      </c>
      <c r="D27" s="6" t="n">
        <v>168</v>
      </c>
      <c r="E27" s="7" t="inlineStr">
        <is>
          <t>台積電,台達電,聯電,南亞,奇銳</t>
        </is>
      </c>
      <c r="F27" s="6" t="inlineStr"/>
    </row>
    <row r="28" ht="28" customHeight="1">
      <c r="A28" s="4" t="inlineStr">
        <is>
          <t>2026-02-05</t>
        </is>
      </c>
      <c r="B28" s="5" t="inlineStr">
        <is>
          <t>中銅,華航,南亞,台塑,可寧衛*,南茂,國泰金,大同,燿華,台新新光金</t>
        </is>
      </c>
      <c r="C28" s="5" t="inlineStr">
        <is>
          <t>友達,群創,緯創,富喬,宏磊,臺企銀,彩晶,台泥,台中銀,茂業達,光豐金,光磊金</t>
        </is>
      </c>
      <c r="D28" s="4" t="n">
        <v>166</v>
      </c>
      <c r="E28" s="5" t="inlineStr">
        <is>
          <t>聯電,台積電,奇銳,台達電,聯發科</t>
        </is>
      </c>
      <c r="F28" s="4" t="inlineStr"/>
    </row>
    <row r="29" ht="28" customHeight="1">
      <c r="A29" s="6" t="inlineStr">
        <is>
          <t>2026-02-06</t>
        </is>
      </c>
      <c r="B29" s="7" t="inlineStr">
        <is>
          <t>中銅,智通*,長榮航,華航,大同</t>
        </is>
      </c>
      <c r="C29" s="7" t="inlineStr">
        <is>
          <t>群創,彩晶,友達,英業達,台泥</t>
        </is>
      </c>
      <c r="D29" s="6" t="n">
        <v>161</v>
      </c>
      <c r="E29" s="7" t="inlineStr">
        <is>
          <t>雙鴻,晶值,世界,群聯,世芯-KY</t>
        </is>
      </c>
      <c r="F29" s="6" t="inlineStr"/>
    </row>
    <row r="30" ht="28" customHeight="1">
      <c r="A30" s="4" t="inlineStr">
        <is>
          <t>2026-02-09</t>
        </is>
      </c>
      <c r="B30" s="5" t="inlineStr">
        <is>
          <t>中銅,智通*,長榮航,華航,大同</t>
        </is>
      </c>
      <c r="C30" s="5" t="inlineStr">
        <is>
          <t>群創,彩晶,友達,英業達,台泥</t>
        </is>
      </c>
      <c r="D30" s="4" t="n">
        <v>165</v>
      </c>
      <c r="E30" s="5" t="inlineStr">
        <is>
          <t>旺宏,南亞科,欣興,絢頎,啟基</t>
        </is>
      </c>
      <c r="F30" s="4" t="inlineStr"/>
    </row>
    <row r="31" ht="28" customHeight="1">
      <c r="A31" s="6" t="inlineStr">
        <is>
          <t>2026-02-10</t>
        </is>
      </c>
      <c r="B31" s="7" t="inlineStr">
        <is>
          <t>中銅,華新,長榮航,台新新光,大同</t>
        </is>
      </c>
      <c r="C31" s="7" t="inlineStr">
        <is>
          <t>群創,彩晶,友達,台泥,鴻創</t>
        </is>
      </c>
      <c r="D31" s="6" t="n">
        <v>166</v>
      </c>
      <c r="E31" s="7" t="inlineStr">
        <is>
          <t>南電,旺宏,華邦電,穩懋,台達電</t>
        </is>
      </c>
      <c r="F31" s="6" t="inlineStr"/>
    </row>
    <row r="32" ht="28" customHeight="1">
      <c r="A32" s="4" t="inlineStr">
        <is>
          <t>2026-02-11</t>
        </is>
      </c>
      <c r="B32" s="5" t="inlineStr">
        <is>
          <t>中銅,聯電,台新新光,華新,長榮航</t>
        </is>
      </c>
      <c r="C32" s="5" t="inlineStr">
        <is>
          <t>群創,友達,彩晶,鴻創,仁寶</t>
        </is>
      </c>
      <c r="D32" s="4" t="n">
        <v>167</v>
      </c>
      <c r="E32" s="5" t="inlineStr">
        <is>
          <t>旺宏,台光電,台達電,高技,富喬</t>
        </is>
      </c>
      <c r="F32" s="4" t="inlineStr"/>
    </row>
    <row r="33" ht="28" customHeight="1">
      <c r="A33" s="8" t="inlineStr">
        <is>
          <t>2026-02-23</t>
        </is>
      </c>
      <c r="B33" s="9" t="inlineStr">
        <is>
          <t>中銅,聯電,台新新光,長榮航,光寶金</t>
        </is>
      </c>
      <c r="C33" s="9" t="inlineStr">
        <is>
          <t>友達,仁寶,台化,台玻,鴻創</t>
        </is>
      </c>
      <c r="D33" s="10" t="n">
        <v>170</v>
      </c>
      <c r="E33" s="9" t="inlineStr">
        <is>
          <t>旺宏,台積電,欣興,群聯,致茂</t>
        </is>
      </c>
      <c r="F33" s="11" t="inlineStr">
        <is>
          <t>⚠️</t>
        </is>
      </c>
    </row>
    <row r="34" ht="28" customHeight="1">
      <c r="A34" s="8" t="inlineStr">
        <is>
          <t>2026-02-24</t>
        </is>
      </c>
      <c r="B34" s="9" t="inlineStr">
        <is>
          <t>中銅,聯電,台新新光,群創,旺宏</t>
        </is>
      </c>
      <c r="C34" s="9" t="inlineStr">
        <is>
          <t>友達,仁寶,台化,台玻,鴻創</t>
        </is>
      </c>
      <c r="D34" s="10" t="n">
        <v>175</v>
      </c>
      <c r="E34" s="9" t="inlineStr">
        <is>
          <t>旺宏,台積電,欣興,群聯,致茂</t>
        </is>
      </c>
      <c r="F34" s="11" t="inlineStr">
        <is>
          <t>⚠️</t>
        </is>
      </c>
    </row>
    <row r="35" ht="28" customHeight="1">
      <c r="A35" s="8" t="inlineStr">
        <is>
          <t>2026-02-25</t>
        </is>
      </c>
      <c r="B35" s="9" t="inlineStr">
        <is>
          <t>中銅,聯電,台新新光,群創,旺宏</t>
        </is>
      </c>
      <c r="C35" s="9" t="inlineStr">
        <is>
          <t>友達,仁寶,台化,台玻,鴻創</t>
        </is>
      </c>
      <c r="D35" s="10" t="n">
        <v>175</v>
      </c>
      <c r="E35" s="9" t="inlineStr">
        <is>
          <t>旺宏,台積電,欣興,群聯,致茂</t>
        </is>
      </c>
      <c r="F35" s="11" t="inlineStr">
        <is>
          <t>⚠️</t>
        </is>
      </c>
    </row>
    <row r="36" ht="28" customHeight="1">
      <c r="A36" s="8" t="inlineStr">
        <is>
          <t>2026-02-26</t>
        </is>
      </c>
      <c r="B36" s="9" t="inlineStr">
        <is>
          <t>中銅,聯電,台新新光,群創,旺宏</t>
        </is>
      </c>
      <c r="C36" s="9" t="inlineStr">
        <is>
          <t>友達,仁寶,台化,台玻,鴻創</t>
        </is>
      </c>
      <c r="D36" s="10" t="n">
        <v>176</v>
      </c>
      <c r="E36" s="9" t="inlineStr">
        <is>
          <t>旺宏,台積電,欣興,群聯,致茂</t>
        </is>
      </c>
      <c r="F36" s="11" t="inlineStr">
        <is>
          <t>⚠️</t>
        </is>
      </c>
    </row>
    <row r="37" ht="28" customHeight="1">
      <c r="A37" s="6" t="inlineStr">
        <is>
          <t>2026-03-02</t>
        </is>
      </c>
      <c r="B37" s="7" t="inlineStr">
        <is>
          <t>群創,鴻海,長榮,富喬,陽明,正新,中鋼,台璞</t>
        </is>
      </c>
      <c r="C37" s="7" t="inlineStr">
        <is>
          <t>華航,仁寶,光寶科,可寧衛*</t>
        </is>
      </c>
      <c r="D37" s="6" t="n">
        <v>168</v>
      </c>
      <c r="E37" s="7" t="inlineStr">
        <is>
          <t>華邦電,南亞科,台光電,緯穎,漢唐</t>
        </is>
      </c>
      <c r="F37" s="6" t="inlineStr"/>
    </row>
    <row r="38" ht="28" customHeight="1">
      <c r="A38" s="4" t="inlineStr">
        <is>
          <t>2026-03-03</t>
        </is>
      </c>
      <c r="B38" s="5" t="inlineStr">
        <is>
          <t>群創,鴻海,陽明,中鋼,正新,長榮,富喬,玉山金</t>
        </is>
      </c>
      <c r="C38" s="5" t="inlineStr">
        <is>
          <t>華航,台新新光金,華邦電,光寶科,元大金,可寧衛*,仁寶,長榮航</t>
        </is>
      </c>
      <c r="D38" s="4" t="n">
        <v>159</v>
      </c>
      <c r="E38" s="5" t="inlineStr">
        <is>
          <t>欣興,華通,貿聯-KY,南電,景碩</t>
        </is>
      </c>
      <c r="F38" s="4" t="inlineStr"/>
    </row>
    <row r="39" ht="28" customHeight="1">
      <c r="A39" s="6" t="inlineStr">
        <is>
          <t>2026-03-04</t>
        </is>
      </c>
      <c r="B39" s="7" t="inlineStr">
        <is>
          <t>群創,正新,長榮,玉山金,台灣大,台璞</t>
        </is>
      </c>
      <c r="C39" s="7" t="inlineStr">
        <is>
          <t>台新新光金,華航,光寶科,臺企銀,中信金,元大金,長榮航,仁寶,大同,緯創,台塑化</t>
        </is>
      </c>
      <c r="D39" s="6" t="n">
        <v>164</v>
      </c>
      <c r="E39" s="7" t="inlineStr">
        <is>
          <t>南亞科,旺宏,群聯,華邦電,南電</t>
        </is>
      </c>
      <c r="F39" s="6" t="inlineStr"/>
    </row>
    <row r="40" ht="28" customHeight="1">
      <c r="A40" s="4" t="inlineStr">
        <is>
          <t>2026-03-05</t>
        </is>
      </c>
      <c r="B40" s="5" t="inlineStr">
        <is>
          <t>正新,長榮,中華電,革新,台灣大</t>
        </is>
      </c>
      <c r="C40" s="5" t="inlineStr">
        <is>
          <t>台新新光金,華航,臺企銀,中信金,光寶科,長榮航,台塑化,台泥,上海商銀,仁寶</t>
        </is>
      </c>
      <c r="D40" s="4" t="n">
        <v>164</v>
      </c>
      <c r="E40" s="5" t="inlineStr">
        <is>
          <t>欣興,信暉,旺矽,緯穎,鴻海</t>
        </is>
      </c>
      <c r="F40" s="4" t="inlineStr"/>
    </row>
    <row r="41" ht="28" customHeight="1">
      <c r="A41" s="6" t="inlineStr">
        <is>
          <t>2026-03-06</t>
        </is>
      </c>
      <c r="B41" s="7" t="inlineStr">
        <is>
          <t>南亞科,中華電,正新,長榮,台璞,革新,台灣大,兆豐金</t>
        </is>
      </c>
      <c r="C41" s="7" t="inlineStr">
        <is>
          <t>台新新光金,華航,中信金,長榮航,富邦金,台化,鴻海,英業達,上海商銀,仁寶</t>
        </is>
      </c>
      <c r="D41" s="6" t="n">
        <v>154</v>
      </c>
      <c r="E41" s="7" t="inlineStr">
        <is>
          <t>華邦電,頎威,研華,金居,旺矽</t>
        </is>
      </c>
      <c r="F41" s="6" t="inlineStr"/>
    </row>
    <row r="42" ht="28" customHeight="1">
      <c r="A42" s="4" t="inlineStr">
        <is>
          <t>2026-03-09</t>
        </is>
      </c>
      <c r="B42" s="5" t="inlineStr">
        <is>
          <t>南亞科,中華電,正新,中石化,革新,台灣大</t>
        </is>
      </c>
      <c r="C42" s="5" t="inlineStr">
        <is>
          <t>群創,台新新光金,華航,臺企銀,中信金,長榮航,台塑,台泥,大成鋼</t>
        </is>
      </c>
      <c r="D42" s="4" t="n">
        <v>158</v>
      </c>
      <c r="E42" s="5" t="inlineStr">
        <is>
          <t>健策,旺宏,華邦電,威剛,景碩</t>
        </is>
      </c>
      <c r="F42" s="4" t="inlineStr"/>
    </row>
    <row r="43" ht="28" customHeight="1">
      <c r="A43" s="6" t="inlineStr">
        <is>
          <t>2026-03-10</t>
        </is>
      </c>
      <c r="B43" s="7" t="inlineStr">
        <is>
          <t>南亞科,中華電,技嘉,友達</t>
        </is>
      </c>
      <c r="C43" s="7" t="inlineStr">
        <is>
          <t>台新新光金,臺企銀,華航,中信金,鴻海,富邦金,長榮航,台塑,台泥,大成鋼</t>
        </is>
      </c>
      <c r="D43" s="6" t="n">
        <v>158</v>
      </c>
      <c r="E43" s="7" t="inlineStr">
        <is>
          <t>南亞科,聯茂,欣興,南電,群創</t>
        </is>
      </c>
      <c r="F43" s="6" t="inlineStr"/>
    </row>
    <row r="44" ht="28" customHeight="1">
      <c r="A44" s="4" t="inlineStr">
        <is>
          <t>2026-03-11</t>
        </is>
      </c>
      <c r="B44" s="5" t="inlineStr">
        <is>
          <t>友達,至上,中華電,長榮</t>
        </is>
      </c>
      <c r="C44" s="5" t="inlineStr">
        <is>
          <t>臺企銀,台新新光金,華航,中信金,南亞,中石化,富邦金,台璞,長榮航,大成鋼,台化</t>
        </is>
      </c>
      <c r="D44" s="4" t="n">
        <v>166</v>
      </c>
      <c r="E44" s="5" t="inlineStr">
        <is>
          <t>台積電,世芯-KY,鴻海,緯穎,良維</t>
        </is>
      </c>
      <c r="F44" s="4" t="inlineStr"/>
    </row>
    <row r="45" ht="28" customHeight="1">
      <c r="A45" s="6" t="inlineStr">
        <is>
          <t>2026-03-12</t>
        </is>
      </c>
      <c r="B45" s="7" t="inlineStr">
        <is>
          <t>群創,至上,中華電,長榮</t>
        </is>
      </c>
      <c r="C45" s="7" t="inlineStr">
        <is>
          <t>中信金,臺企銀,華航,台新新光金,南亞,中石化,台璞,富邦金,長榮航,大成鋼,台化</t>
        </is>
      </c>
      <c r="D45" s="6" t="n">
        <v>165</v>
      </c>
      <c r="E45" s="7" t="inlineStr">
        <is>
          <t>健策,華邦電,金像電,欣興,聯亞</t>
        </is>
      </c>
      <c r="F45" s="6" t="inlineStr"/>
    </row>
    <row r="46" ht="28" customHeight="1">
      <c r="A46" s="4" t="inlineStr">
        <is>
          <t>2026-03-13</t>
        </is>
      </c>
      <c r="B46" s="5" t="inlineStr">
        <is>
          <t>友達,至上,光洋科,中華電,神達</t>
        </is>
      </c>
      <c r="C46" s="5" t="inlineStr">
        <is>
          <t>中石化,臺企銀,中信金,華航,台璞,長榮航,遠東新,富邦金,大成鋼</t>
        </is>
      </c>
      <c r="D46" s="4" t="n">
        <v>165</v>
      </c>
      <c r="E46" s="5" t="inlineStr">
        <is>
          <t>台耀,和碩,矽力*-KY,台虹,德律</t>
        </is>
      </c>
      <c r="F46" s="4" t="inlineStr"/>
    </row>
    <row r="47" ht="28" customHeight="1">
      <c r="A47" s="6" t="inlineStr">
        <is>
          <t>2026-03-16</t>
        </is>
      </c>
      <c r="B47" s="7" t="inlineStr">
        <is>
          <t>群創,光洋科,長榮,緯創,中鼎,神達,中華電</t>
        </is>
      </c>
      <c r="C47" s="7" t="inlineStr">
        <is>
          <t>中石化,臺企銀,中信金,台新新光金,華航,遠東新,南亞,亞泥</t>
        </is>
      </c>
      <c r="D47" s="6" t="n">
        <v>167</v>
      </c>
      <c r="E47" s="7" t="inlineStr">
        <is>
          <t>一詮,健策,嘉澤,宇瞻,長榮</t>
        </is>
      </c>
      <c r="F47" s="6" t="inlineStr"/>
    </row>
    <row r="48" ht="28" customHeight="1">
      <c r="A48" s="4" t="inlineStr">
        <is>
          <t>2026-03-17</t>
        </is>
      </c>
      <c r="B48" s="5" t="inlineStr">
        <is>
          <t>至上,旺宏,長榮,緯創,中鼎,革新,光洋料,神達</t>
        </is>
      </c>
      <c r="C48" s="5" t="inlineStr">
        <is>
          <t>臺企銀,台新新光金,中石化,鴻海,南亞,中信金,遠東新,亞泥,聯電</t>
        </is>
      </c>
      <c r="D48" s="4" t="n">
        <v>169</v>
      </c>
      <c r="E48" s="5" t="inlineStr">
        <is>
          <t>華邦電,光寶科,台達電,健策,世芯-KY</t>
        </is>
      </c>
      <c r="F48" s="4" t="inlineStr"/>
    </row>
    <row r="49" ht="28" customHeight="1">
      <c r="A49" s="8" t="inlineStr">
        <is>
          <t>2026-03-18</t>
        </is>
      </c>
      <c r="B49" s="9" t="inlineStr">
        <is>
          <t>旺宏,革新,長榮,中鼎,光洋料</t>
        </is>
      </c>
      <c r="C49" s="9" t="inlineStr">
        <is>
          <t>鴻海,台新新光金,臺企銀,友達,中信金,遠東新,中石化,南亞,玉山金,中鋼,華航,聯電</t>
        </is>
      </c>
      <c r="D49" s="10" t="n">
        <v>172</v>
      </c>
      <c r="E49" s="9" t="inlineStr">
        <is>
          <t>聯茂,健策,愛普*,聯亞,旺宏</t>
        </is>
      </c>
      <c r="F49" s="11" t="inlineStr">
        <is>
          <t>⚠️</t>
        </is>
      </c>
    </row>
    <row r="50" ht="28" customHeight="1">
      <c r="A50" s="8" t="inlineStr">
        <is>
          <t>2026-03-19</t>
        </is>
      </c>
      <c r="B50" s="9" t="inlineStr">
        <is>
          <t>旺宏,長榮,革新,台灣大,強茂,英業達,中鼎</t>
        </is>
      </c>
      <c r="C50" s="9" t="inlineStr">
        <is>
          <t>群創,友達,鴻海,中鋼,台新新光金,臺企銀,台璞,玉山金,聯電,遠東新,中石化,華航,中信金,陽明</t>
        </is>
      </c>
      <c r="D50" s="10" t="n">
        <v>170</v>
      </c>
      <c r="E50" s="9" t="inlineStr">
        <is>
          <t>旺宏,創意,台耀,欣興,金像電</t>
        </is>
      </c>
      <c r="F50" s="11" t="inlineStr">
        <is>
          <t>⚠️</t>
        </is>
      </c>
    </row>
    <row r="51" ht="28" customHeight="1">
      <c r="A51" s="6" t="inlineStr">
        <is>
          <t>2026-03-20</t>
        </is>
      </c>
      <c r="B51" s="7" t="inlineStr">
        <is>
          <t>旺宏,台灣大,緯創,英業達,鉅創,革新</t>
        </is>
      </c>
      <c r="C51" s="7" t="inlineStr">
        <is>
          <t>鴻海,華邦電,台新新光金,台璞,中鋼,南亞,遠東新,京元電子,中信金</t>
        </is>
      </c>
      <c r="D51" s="6" t="n">
        <v>168</v>
      </c>
      <c r="E51" s="7" t="inlineStr">
        <is>
          <t>奇鋐,創意,宜鼎,愛普*,尖點</t>
        </is>
      </c>
      <c r="F51" s="6" t="inlineStr"/>
    </row>
    <row r="52" ht="28" customHeight="1">
      <c r="A52" s="4" t="inlineStr">
        <is>
          <t>2026-03-23</t>
        </is>
      </c>
      <c r="B52" s="5" t="inlineStr">
        <is>
          <t>鴻海,台灣大,鉅創,英業達,中美晶</t>
        </is>
      </c>
      <c r="C52" s="5" t="inlineStr">
        <is>
          <t>鴻海,台新新光金,華邦電,群創,中鋼,台璞,臺企銀,南亞,富邦金,中信金,合庫金,中石化,遠東新,京元電子</t>
        </is>
      </c>
      <c r="D52" s="4" t="n">
        <v>161</v>
      </c>
      <c r="E52" s="5" t="inlineStr">
        <is>
          <t>樺懋,致茂,華邦電,力旺,貿聯-KY</t>
        </is>
      </c>
      <c r="F52" s="4" t="inlineStr"/>
    </row>
    <row r="53" ht="28" customHeight="1">
      <c r="A53" s="6" t="inlineStr">
        <is>
          <t>2026-03-24</t>
        </is>
      </c>
      <c r="B53" s="7" t="inlineStr">
        <is>
          <t>鴻海,鉅創,台灣大,中鼎,中美晶,普安</t>
        </is>
      </c>
      <c r="C53" s="7" t="inlineStr">
        <is>
          <t>華邦電,台新新光金,鴻海,中鋼,群創,台璞,臺企銀,富邦金,中信金,京元電子,合庫金,聯電</t>
        </is>
      </c>
      <c r="D53" s="6" t="n">
        <v>158</v>
      </c>
      <c r="E53" s="7" t="inlineStr">
        <is>
          <t>旺宏,群聯,南亞科,欣興,台耀</t>
        </is>
      </c>
      <c r="F53" s="6" t="inlineStr"/>
    </row>
    <row r="54" ht="28" customHeight="1">
      <c r="A54" s="4" t="inlineStr">
        <is>
          <t>2026-03-25</t>
        </is>
      </c>
      <c r="B54" s="5" t="inlineStr">
        <is>
          <t>鴻海,中鼎,台灣大,瑞量,裕融,旺宏</t>
        </is>
      </c>
      <c r="C54" s="5" t="inlineStr">
        <is>
          <t>華邦電,中鋼,群創,台新新光金,鴻海,台璞,臺企銀,京元電子,富邦金,南亞科,中信金,聯電,中石化,瑞軒</t>
        </is>
      </c>
      <c r="D54" s="4" t="n">
        <v>164</v>
      </c>
      <c r="E54" s="5" t="inlineStr">
        <is>
          <t>旺宏,世芯-KY,富奇,南電,奇鋐</t>
        </is>
      </c>
      <c r="F54" s="4" t="inlineStr"/>
    </row>
    <row r="55" ht="28" customHeight="1">
      <c r="A55" s="6" t="inlineStr">
        <is>
          <t>2026-03-26</t>
        </is>
      </c>
      <c r="B55" s="7" t="inlineStr">
        <is>
          <t>鴻海,統一超,革新,中鼎,裕融,台灣大,瑞量</t>
        </is>
      </c>
      <c r="C55" s="7" t="inlineStr">
        <is>
          <t>華邦電,台新新光金,群創,友達,京元電子,臺企銀,台璞,南亞科,鴻海,富邦金,中石化,瑞軒,遠東新,國泰金</t>
        </is>
      </c>
      <c r="D55" s="6" t="n">
        <v>163</v>
      </c>
      <c r="E55" s="7" t="inlineStr">
        <is>
          <t>智邦,旺宏,華通,群聯,奇鋐</t>
        </is>
      </c>
      <c r="F55" s="6" t="inlineStr"/>
    </row>
    <row r="56" ht="28" customHeight="1">
      <c r="A56" s="4" t="inlineStr">
        <is>
          <t>2026-03-27</t>
        </is>
      </c>
      <c r="B56" s="5" t="inlineStr">
        <is>
          <t>和碩,革新,英業達,南亞,中鼎,台灣大</t>
        </is>
      </c>
      <c r="C56" s="5" t="inlineStr">
        <is>
          <t>友達,台新新光金,華邦電,臺企銀,中石化,鴻海,國泰金,富邦金,台璞,京元電子,遠東新</t>
        </is>
      </c>
      <c r="D56" s="4" t="n">
        <v>163</v>
      </c>
      <c r="E56" s="5" t="inlineStr">
        <is>
          <t>群聯,華邦電,矽格,光寶科,環宇-KY</t>
        </is>
      </c>
      <c r="F56" s="4" t="inlineStr"/>
    </row>
    <row r="57" ht="28" customHeight="1">
      <c r="A57" s="6" t="inlineStr">
        <is>
          <t>2026-03-30</t>
        </is>
      </c>
      <c r="B57" s="7" t="inlineStr">
        <is>
          <t>南亞,玉山金,中鋼,和碩,台灣大,中鼎</t>
        </is>
      </c>
      <c r="C57" s="7" t="inlineStr">
        <is>
          <t>友達,華邦電,台新新光金,臺企銀,國泰金,瑞軒,富邦金,華航</t>
        </is>
      </c>
      <c r="D57" s="6" t="n">
        <v>160</v>
      </c>
      <c r="E57" s="7" t="inlineStr">
        <is>
          <t>懋懋,南亞科,南亞,致茂,旺宏</t>
        </is>
      </c>
      <c r="F57" s="6" t="inlineStr"/>
    </row>
    <row r="58" ht="28" customHeight="1">
      <c r="A58" s="4" t="inlineStr">
        <is>
          <t>2026-03-31</t>
        </is>
      </c>
      <c r="B58" s="5" t="inlineStr">
        <is>
          <t>華通,中鋼,台中銀,合庫金,台灣大</t>
        </is>
      </c>
      <c r="C58" s="5" t="inlineStr">
        <is>
          <t>台新新光金,友達,大成鋼,華邦電,華航,臺企銀,瑞軒,緯創,國泰金,彩晶,中信金</t>
        </is>
      </c>
      <c r="D58" s="4" t="n">
        <v>152</v>
      </c>
      <c r="E58" s="5" t="inlineStr">
        <is>
          <t>群聯,華邦電,順達,華通,力旺</t>
        </is>
      </c>
      <c r="F58" s="4" t="inlineStr"/>
    </row>
    <row r="59" ht="28" customHeight="1">
      <c r="A59" s="6" t="inlineStr">
        <is>
          <t>2026-04-01</t>
        </is>
      </c>
      <c r="B59" s="7" t="inlineStr">
        <is>
          <t>中鋼,台中銀,合庫金,仁寶,華通,鴻海,南亞</t>
        </is>
      </c>
      <c r="C59" s="7" t="inlineStr">
        <is>
          <t>台新新光金,大成鋼,華航,正文,臺企銀,國泰金,台泥,富邦金,彩晶</t>
        </is>
      </c>
      <c r="D59" s="6" t="n">
        <v>160</v>
      </c>
      <c r="E59" s="7" t="inlineStr">
        <is>
          <t>金像電,鴻海,日月光投控,廣達,台達電</t>
        </is>
      </c>
      <c r="F59" s="6" t="inlineStr"/>
    </row>
    <row r="60" ht="28" customHeight="1">
      <c r="A60" s="4" t="inlineStr">
        <is>
          <t>2026-04-02</t>
        </is>
      </c>
      <c r="B60" s="5" t="inlineStr">
        <is>
          <t>兆豐金,台中銀,中鋼,合庫金,鴻海,南亞,台灣大</t>
        </is>
      </c>
      <c r="C60" s="5" t="inlineStr">
        <is>
          <t>台泥,大成鋼,華航,正文,富邦金,國泰金,頎邦</t>
        </is>
      </c>
      <c r="D60" s="4" t="n">
        <v>157</v>
      </c>
      <c r="E60" s="5" t="inlineStr">
        <is>
          <t>懋懋,台耀,旺宏,創意,智邦</t>
        </is>
      </c>
      <c r="F60" s="4" t="inlineStr"/>
    </row>
    <row r="61" ht="28" customHeight="1">
      <c r="A61" s="6" t="inlineStr">
        <is>
          <t>2026-04-07</t>
        </is>
      </c>
      <c r="B61" s="7" t="inlineStr">
        <is>
          <t>台中銀,中鋼,合庫金,鴻海,南亞,台塑化,金居,王道銀行</t>
        </is>
      </c>
      <c r="C61" s="7" t="inlineStr">
        <is>
          <t>華邦電,台泥,大成鋼,正文,富邦金,緯創</t>
        </is>
      </c>
      <c r="D61" s="6" t="n">
        <v>160</v>
      </c>
      <c r="E61" s="7" t="inlineStr">
        <is>
          <t>台積電,台達電,南電,台耀,全新</t>
        </is>
      </c>
      <c r="F61" s="6" t="inlineStr"/>
    </row>
    <row r="62" ht="28" customHeight="1">
      <c r="A62" s="4" t="inlineStr">
        <is>
          <t>2026-04-08</t>
        </is>
      </c>
      <c r="B62" s="5" t="inlineStr">
        <is>
          <t>中鋼,台中銀,合庫金,華新,強茂</t>
        </is>
      </c>
      <c r="C62" s="5" t="inlineStr">
        <is>
          <t>台泥,台聚,陽明,遠東新,頎邦,華邦電,富邦金</t>
        </is>
      </c>
      <c r="D62" s="4" t="n">
        <v>169</v>
      </c>
      <c r="E62" s="5" t="inlineStr">
        <is>
          <t>世芯-KY,日月光投控,緯創,南亞科,大量</t>
        </is>
      </c>
      <c r="F62" s="4" t="inlineStr"/>
    </row>
    <row r="63" ht="28" customHeight="1">
      <c r="A63" s="6" t="inlineStr">
        <is>
          <t>2026-04-09</t>
        </is>
      </c>
      <c r="B63" s="7" t="inlineStr">
        <is>
          <t>中鋼,南亞,台化,台塑,合庫金</t>
        </is>
      </c>
      <c r="C63" s="7" t="inlineStr">
        <is>
          <t>華邦電,台泥,南亞科,頎邦,富邦金,陽明,遠東新,正文</t>
        </is>
      </c>
      <c r="D63" s="6" t="n">
        <v>168</v>
      </c>
      <c r="E63" s="7" t="inlineStr">
        <is>
          <t>台達電,致茂,南電,華通,尖點</t>
        </is>
      </c>
      <c r="F63" s="6" t="inlineStr"/>
    </row>
    <row r="64" ht="28" customHeight="1">
      <c r="A64" s="8" t="inlineStr">
        <is>
          <t>2026-04-10</t>
        </is>
      </c>
      <c r="B64" s="9" t="inlineStr">
        <is>
          <t>中鋼,大成鋼,大聯大,台化,華新,合庫金,台塑</t>
        </is>
      </c>
      <c r="C64" s="9" t="inlineStr">
        <is>
          <t>台泥,富邦金,中信金,陽明,遠東新,頎邦,南亞科,國泰金</t>
        </is>
      </c>
      <c r="D64" s="10" t="n">
        <v>171</v>
      </c>
      <c r="E64" s="9" t="inlineStr">
        <is>
          <t>國巨*,欣興,亞翔,創意,辛旺</t>
        </is>
      </c>
      <c r="F64" s="11" t="inlineStr">
        <is>
          <t>⚠️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</cols>
  <sheetData>
    <row r="1" ht="28" customHeight="1">
      <c r="A1" s="12" t="inlineStr">
        <is>
          <t>融資維持率每日走勢</t>
        </is>
      </c>
    </row>
    <row r="2" ht="22" customHeight="1">
      <c r="A2" s="13" t="inlineStr">
        <is>
          <t>日期</t>
        </is>
      </c>
      <c r="B2" s="13" t="inlineStr">
        <is>
          <t>融資維持率(%)</t>
        </is>
      </c>
      <c r="C2" s="13" t="inlineStr">
        <is>
          <t>警示</t>
        </is>
      </c>
    </row>
    <row r="3">
      <c r="A3" s="14" t="inlineStr">
        <is>
          <t>2026-01-02</t>
        </is>
      </c>
      <c r="B3" s="14" t="n">
        <v>168</v>
      </c>
      <c r="C3" s="14" t="inlineStr"/>
    </row>
    <row r="4">
      <c r="A4" s="15" t="inlineStr">
        <is>
          <t>2026-01-05</t>
        </is>
      </c>
      <c r="B4" s="15" t="n">
        <v>169</v>
      </c>
      <c r="C4" s="15" t="inlineStr"/>
    </row>
    <row r="5">
      <c r="A5" s="16" t="inlineStr">
        <is>
          <t>2026-01-06</t>
        </is>
      </c>
      <c r="B5" s="17" t="n">
        <v>171</v>
      </c>
      <c r="C5" s="16" t="inlineStr">
        <is>
          <t>⚠️</t>
        </is>
      </c>
    </row>
    <row r="6">
      <c r="A6" s="15" t="inlineStr">
        <is>
          <t>2026-01-07</t>
        </is>
      </c>
      <c r="B6" s="15" t="n">
        <v>169</v>
      </c>
      <c r="C6" s="15" t="inlineStr"/>
    </row>
    <row r="7">
      <c r="A7" s="14" t="inlineStr">
        <is>
          <t>2026-01-08</t>
        </is>
      </c>
      <c r="B7" s="14" t="n">
        <v>168</v>
      </c>
      <c r="C7" s="14" t="inlineStr"/>
    </row>
    <row r="8">
      <c r="A8" s="15" t="inlineStr">
        <is>
          <t>2026-01-09</t>
        </is>
      </c>
      <c r="B8" s="15" t="n">
        <v>167</v>
      </c>
      <c r="C8" s="15" t="inlineStr"/>
    </row>
    <row r="9">
      <c r="A9" s="16" t="inlineStr">
        <is>
          <t>2026-01-12</t>
        </is>
      </c>
      <c r="B9" s="17" t="n">
        <v>170</v>
      </c>
      <c r="C9" s="16" t="inlineStr">
        <is>
          <t>⚠️</t>
        </is>
      </c>
    </row>
    <row r="10">
      <c r="A10" s="15" t="inlineStr">
        <is>
          <t>2026-01-13</t>
        </is>
      </c>
      <c r="B10" s="15" t="n">
        <v>169</v>
      </c>
      <c r="C10" s="15" t="inlineStr"/>
    </row>
    <row r="11">
      <c r="A11" s="16" t="inlineStr">
        <is>
          <t>2026-01-14</t>
        </is>
      </c>
      <c r="B11" s="17" t="n">
        <v>171</v>
      </c>
      <c r="C11" s="16" t="inlineStr">
        <is>
          <t>⚠️</t>
        </is>
      </c>
    </row>
    <row r="12">
      <c r="A12" s="16" t="inlineStr">
        <is>
          <t>2026-01-15</t>
        </is>
      </c>
      <c r="B12" s="17" t="n">
        <v>170</v>
      </c>
      <c r="C12" s="16" t="inlineStr">
        <is>
          <t>⚠️</t>
        </is>
      </c>
    </row>
    <row r="13">
      <c r="A13" s="16" t="inlineStr">
        <is>
          <t>2026-01-16</t>
        </is>
      </c>
      <c r="B13" s="17" t="n">
        <v>172</v>
      </c>
      <c r="C13" s="16" t="inlineStr">
        <is>
          <t>⚠️</t>
        </is>
      </c>
    </row>
    <row r="14">
      <c r="A14" s="16" t="inlineStr">
        <is>
          <t>2026-01-19</t>
        </is>
      </c>
      <c r="B14" s="17" t="n">
        <v>174</v>
      </c>
      <c r="C14" s="16" t="inlineStr">
        <is>
          <t>⚠️</t>
        </is>
      </c>
    </row>
    <row r="15">
      <c r="A15" s="16" t="inlineStr">
        <is>
          <t>2026-01-20</t>
        </is>
      </c>
      <c r="B15" s="17" t="n">
        <v>174</v>
      </c>
      <c r="C15" s="16" t="inlineStr">
        <is>
          <t>⚠️</t>
        </is>
      </c>
    </row>
    <row r="16">
      <c r="A16" s="15" t="inlineStr">
        <is>
          <t>2026-01-21</t>
        </is>
      </c>
      <c r="B16" s="15" t="n">
        <v>169</v>
      </c>
      <c r="C16" s="15" t="inlineStr"/>
    </row>
    <row r="17">
      <c r="A17" s="16" t="inlineStr">
        <is>
          <t>2026-01-22</t>
        </is>
      </c>
      <c r="B17" s="17" t="n">
        <v>172</v>
      </c>
      <c r="C17" s="16" t="inlineStr">
        <is>
          <t>⚠️</t>
        </is>
      </c>
    </row>
    <row r="18">
      <c r="A18" s="16" t="inlineStr">
        <is>
          <t>2026-01-23</t>
        </is>
      </c>
      <c r="B18" s="17" t="n">
        <v>172</v>
      </c>
      <c r="C18" s="16" t="inlineStr">
        <is>
          <t>⚠️</t>
        </is>
      </c>
    </row>
    <row r="19">
      <c r="A19" s="16" t="inlineStr">
        <is>
          <t>2026-01-26</t>
        </is>
      </c>
      <c r="B19" s="17" t="n">
        <v>174</v>
      </c>
      <c r="C19" s="16" t="inlineStr">
        <is>
          <t>⚠️</t>
        </is>
      </c>
    </row>
    <row r="20">
      <c r="A20" s="16" t="inlineStr">
        <is>
          <t>2026-01-27</t>
        </is>
      </c>
      <c r="B20" s="17" t="n">
        <v>173</v>
      </c>
      <c r="C20" s="16" t="inlineStr">
        <is>
          <t>⚠️</t>
        </is>
      </c>
    </row>
    <row r="21">
      <c r="A21" s="16" t="inlineStr">
        <is>
          <t>2026-01-28</t>
        </is>
      </c>
      <c r="B21" s="17" t="n">
        <v>175</v>
      </c>
      <c r="C21" s="16" t="inlineStr">
        <is>
          <t>⚠️</t>
        </is>
      </c>
    </row>
    <row r="22">
      <c r="A22" s="16" t="inlineStr">
        <is>
          <t>2026-01-29</t>
        </is>
      </c>
      <c r="B22" s="17" t="n">
        <v>173</v>
      </c>
      <c r="C22" s="16" t="inlineStr">
        <is>
          <t>⚠️</t>
        </is>
      </c>
    </row>
    <row r="23">
      <c r="A23" s="16" t="inlineStr">
        <is>
          <t>2026-01-30</t>
        </is>
      </c>
      <c r="B23" s="17" t="n">
        <v>171</v>
      </c>
      <c r="C23" s="16" t="inlineStr">
        <is>
          <t>⚠️</t>
        </is>
      </c>
    </row>
    <row r="24">
      <c r="A24" s="15" t="inlineStr">
        <is>
          <t>2026-02-02</t>
        </is>
      </c>
      <c r="B24" s="15" t="n">
        <v>165</v>
      </c>
      <c r="C24" s="15" t="inlineStr"/>
    </row>
    <row r="25">
      <c r="A25" s="14" t="inlineStr">
        <is>
          <t>2026-02-03</t>
        </is>
      </c>
      <c r="B25" s="14" t="n">
        <v>169</v>
      </c>
      <c r="C25" s="14" t="inlineStr"/>
    </row>
    <row r="26">
      <c r="A26" s="15" t="inlineStr">
        <is>
          <t>2026-02-04</t>
        </is>
      </c>
      <c r="B26" s="15" t="n">
        <v>168</v>
      </c>
      <c r="C26" s="15" t="inlineStr"/>
    </row>
    <row r="27">
      <c r="A27" s="14" t="inlineStr">
        <is>
          <t>2026-02-05</t>
        </is>
      </c>
      <c r="B27" s="14" t="n">
        <v>166</v>
      </c>
      <c r="C27" s="14" t="inlineStr"/>
    </row>
    <row r="28">
      <c r="A28" s="15" t="inlineStr">
        <is>
          <t>2026-02-06</t>
        </is>
      </c>
      <c r="B28" s="15" t="n">
        <v>161</v>
      </c>
      <c r="C28" s="15" t="inlineStr"/>
    </row>
    <row r="29">
      <c r="A29" s="14" t="inlineStr">
        <is>
          <t>2026-02-09</t>
        </is>
      </c>
      <c r="B29" s="14" t="n">
        <v>165</v>
      </c>
      <c r="C29" s="14" t="inlineStr"/>
    </row>
    <row r="30">
      <c r="A30" s="15" t="inlineStr">
        <is>
          <t>2026-02-10</t>
        </is>
      </c>
      <c r="B30" s="15" t="n">
        <v>166</v>
      </c>
      <c r="C30" s="15" t="inlineStr"/>
    </row>
    <row r="31">
      <c r="A31" s="14" t="inlineStr">
        <is>
          <t>2026-02-11</t>
        </is>
      </c>
      <c r="B31" s="14" t="n">
        <v>167</v>
      </c>
      <c r="C31" s="14" t="inlineStr"/>
    </row>
    <row r="32">
      <c r="A32" s="16" t="inlineStr">
        <is>
          <t>2026-02-23</t>
        </is>
      </c>
      <c r="B32" s="17" t="n">
        <v>170</v>
      </c>
      <c r="C32" s="16" t="inlineStr">
        <is>
          <t>⚠️</t>
        </is>
      </c>
    </row>
    <row r="33">
      <c r="A33" s="16" t="inlineStr">
        <is>
          <t>2026-02-24</t>
        </is>
      </c>
      <c r="B33" s="17" t="n">
        <v>175</v>
      </c>
      <c r="C33" s="16" t="inlineStr">
        <is>
          <t>⚠️</t>
        </is>
      </c>
    </row>
    <row r="34">
      <c r="A34" s="16" t="inlineStr">
        <is>
          <t>2026-02-25</t>
        </is>
      </c>
      <c r="B34" s="17" t="n">
        <v>175</v>
      </c>
      <c r="C34" s="16" t="inlineStr">
        <is>
          <t>⚠️</t>
        </is>
      </c>
    </row>
    <row r="35">
      <c r="A35" s="16" t="inlineStr">
        <is>
          <t>2026-02-26</t>
        </is>
      </c>
      <c r="B35" s="17" t="n">
        <v>176</v>
      </c>
      <c r="C35" s="16" t="inlineStr">
        <is>
          <t>⚠️</t>
        </is>
      </c>
    </row>
    <row r="36">
      <c r="A36" s="15" t="inlineStr">
        <is>
          <t>2026-03-02</t>
        </is>
      </c>
      <c r="B36" s="15" t="n">
        <v>168</v>
      </c>
      <c r="C36" s="15" t="inlineStr"/>
    </row>
    <row r="37">
      <c r="A37" s="14" t="inlineStr">
        <is>
          <t>2026-03-03</t>
        </is>
      </c>
      <c r="B37" s="14" t="n">
        <v>159</v>
      </c>
      <c r="C37" s="14" t="inlineStr"/>
    </row>
    <row r="38">
      <c r="A38" s="15" t="inlineStr">
        <is>
          <t>2026-03-04</t>
        </is>
      </c>
      <c r="B38" s="15" t="n">
        <v>164</v>
      </c>
      <c r="C38" s="15" t="inlineStr"/>
    </row>
    <row r="39">
      <c r="A39" s="14" t="inlineStr">
        <is>
          <t>2026-03-05</t>
        </is>
      </c>
      <c r="B39" s="14" t="n">
        <v>164</v>
      </c>
      <c r="C39" s="14" t="inlineStr"/>
    </row>
    <row r="40">
      <c r="A40" s="15" t="inlineStr">
        <is>
          <t>2026-03-06</t>
        </is>
      </c>
      <c r="B40" s="15" t="n">
        <v>154</v>
      </c>
      <c r="C40" s="15" t="inlineStr"/>
    </row>
    <row r="41">
      <c r="A41" s="14" t="inlineStr">
        <is>
          <t>2026-03-09</t>
        </is>
      </c>
      <c r="B41" s="14" t="n">
        <v>158</v>
      </c>
      <c r="C41" s="14" t="inlineStr"/>
    </row>
    <row r="42">
      <c r="A42" s="15" t="inlineStr">
        <is>
          <t>2026-03-10</t>
        </is>
      </c>
      <c r="B42" s="15" t="n">
        <v>158</v>
      </c>
      <c r="C42" s="15" t="inlineStr"/>
    </row>
    <row r="43">
      <c r="A43" s="14" t="inlineStr">
        <is>
          <t>2026-03-11</t>
        </is>
      </c>
      <c r="B43" s="14" t="n">
        <v>166</v>
      </c>
      <c r="C43" s="14" t="inlineStr"/>
    </row>
    <row r="44">
      <c r="A44" s="15" t="inlineStr">
        <is>
          <t>2026-03-12</t>
        </is>
      </c>
      <c r="B44" s="15" t="n">
        <v>165</v>
      </c>
      <c r="C44" s="15" t="inlineStr"/>
    </row>
    <row r="45">
      <c r="A45" s="14" t="inlineStr">
        <is>
          <t>2026-03-13</t>
        </is>
      </c>
      <c r="B45" s="14" t="n">
        <v>165</v>
      </c>
      <c r="C45" s="14" t="inlineStr"/>
    </row>
    <row r="46">
      <c r="A46" s="15" t="inlineStr">
        <is>
          <t>2026-03-16</t>
        </is>
      </c>
      <c r="B46" s="15" t="n">
        <v>167</v>
      </c>
      <c r="C46" s="15" t="inlineStr"/>
    </row>
    <row r="47">
      <c r="A47" s="14" t="inlineStr">
        <is>
          <t>2026-03-17</t>
        </is>
      </c>
      <c r="B47" s="14" t="n">
        <v>169</v>
      </c>
      <c r="C47" s="14" t="inlineStr"/>
    </row>
    <row r="48">
      <c r="A48" s="16" t="inlineStr">
        <is>
          <t>2026-03-18</t>
        </is>
      </c>
      <c r="B48" s="17" t="n">
        <v>172</v>
      </c>
      <c r="C48" s="16" t="inlineStr">
        <is>
          <t>⚠️</t>
        </is>
      </c>
    </row>
    <row r="49">
      <c r="A49" s="16" t="inlineStr">
        <is>
          <t>2026-03-19</t>
        </is>
      </c>
      <c r="B49" s="17" t="n">
        <v>170</v>
      </c>
      <c r="C49" s="16" t="inlineStr">
        <is>
          <t>⚠️</t>
        </is>
      </c>
    </row>
    <row r="50">
      <c r="A50" s="15" t="inlineStr">
        <is>
          <t>2026-03-20</t>
        </is>
      </c>
      <c r="B50" s="15" t="n">
        <v>168</v>
      </c>
      <c r="C50" s="15" t="inlineStr"/>
    </row>
    <row r="51">
      <c r="A51" s="14" t="inlineStr">
        <is>
          <t>2026-03-23</t>
        </is>
      </c>
      <c r="B51" s="14" t="n">
        <v>161</v>
      </c>
      <c r="C51" s="14" t="inlineStr"/>
    </row>
    <row r="52">
      <c r="A52" s="15" t="inlineStr">
        <is>
          <t>2026-03-24</t>
        </is>
      </c>
      <c r="B52" s="15" t="n">
        <v>158</v>
      </c>
      <c r="C52" s="15" t="inlineStr"/>
    </row>
    <row r="53">
      <c r="A53" s="14" t="inlineStr">
        <is>
          <t>2026-03-25</t>
        </is>
      </c>
      <c r="B53" s="14" t="n">
        <v>164</v>
      </c>
      <c r="C53" s="14" t="inlineStr"/>
    </row>
    <row r="54">
      <c r="A54" s="15" t="inlineStr">
        <is>
          <t>2026-03-26</t>
        </is>
      </c>
      <c r="B54" s="15" t="n">
        <v>163</v>
      </c>
      <c r="C54" s="15" t="inlineStr"/>
    </row>
    <row r="55">
      <c r="A55" s="14" t="inlineStr">
        <is>
          <t>2026-03-27</t>
        </is>
      </c>
      <c r="B55" s="14" t="n">
        <v>163</v>
      </c>
      <c r="C55" s="14" t="inlineStr"/>
    </row>
    <row r="56">
      <c r="A56" s="15" t="inlineStr">
        <is>
          <t>2026-03-30</t>
        </is>
      </c>
      <c r="B56" s="15" t="n">
        <v>160</v>
      </c>
      <c r="C56" s="15" t="inlineStr"/>
    </row>
    <row r="57">
      <c r="A57" s="14" t="inlineStr">
        <is>
          <t>2026-03-31</t>
        </is>
      </c>
      <c r="B57" s="14" t="n">
        <v>152</v>
      </c>
      <c r="C57" s="14" t="inlineStr"/>
    </row>
    <row r="58">
      <c r="A58" s="15" t="inlineStr">
        <is>
          <t>2026-04-01</t>
        </is>
      </c>
      <c r="B58" s="15" t="n">
        <v>160</v>
      </c>
      <c r="C58" s="15" t="inlineStr"/>
    </row>
    <row r="59">
      <c r="A59" s="14" t="inlineStr">
        <is>
          <t>2026-04-02</t>
        </is>
      </c>
      <c r="B59" s="14" t="n">
        <v>157</v>
      </c>
      <c r="C59" s="14" t="inlineStr"/>
    </row>
    <row r="60">
      <c r="A60" s="15" t="inlineStr">
        <is>
          <t>2026-04-07</t>
        </is>
      </c>
      <c r="B60" s="15" t="n">
        <v>160</v>
      </c>
      <c r="C60" s="15" t="inlineStr"/>
    </row>
    <row r="61">
      <c r="A61" s="14" t="inlineStr">
        <is>
          <t>2026-04-08</t>
        </is>
      </c>
      <c r="B61" s="14" t="n">
        <v>169</v>
      </c>
      <c r="C61" s="14" t="inlineStr"/>
    </row>
    <row r="62">
      <c r="A62" s="15" t="inlineStr">
        <is>
          <t>2026-04-09</t>
        </is>
      </c>
      <c r="B62" s="15" t="n">
        <v>168</v>
      </c>
      <c r="C62" s="15" t="inlineStr"/>
    </row>
    <row r="63">
      <c r="A63" s="16" t="inlineStr">
        <is>
          <t>2026-04-10</t>
        </is>
      </c>
      <c r="B63" s="17" t="n">
        <v>171</v>
      </c>
      <c r="C63" s="16" t="inlineStr">
        <is>
          <t>⚠️</t>
        </is>
      </c>
    </row>
    <row r="65">
      <c r="A65" s="18" t="inlineStr">
        <is>
          <t>平均</t>
        </is>
      </c>
      <c r="B65" s="19">
        <f>AVERAGE(B3:B63)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2" t="inlineStr">
        <is>
          <t>統計摘要</t>
        </is>
      </c>
    </row>
    <row r="3">
      <c r="A3" s="18" t="inlineStr">
        <is>
          <t>總交易日數</t>
        </is>
      </c>
      <c r="B3" s="20">
        <f>融資維持率走勢!COUNTA(A3:A63)</f>
        <v/>
      </c>
    </row>
    <row r="4">
      <c r="A4" s="18" t="inlineStr">
        <is>
          <t>最高融資維持率</t>
        </is>
      </c>
      <c r="B4" s="21">
        <f>MAX(融資維持率走勢!B3:B63)</f>
        <v/>
      </c>
    </row>
    <row r="5">
      <c r="A5" s="18" t="inlineStr">
        <is>
          <t>最低融資維持率</t>
        </is>
      </c>
      <c r="B5" s="22">
        <f>MIN(融資維持率走勢!B3:B63)</f>
        <v/>
      </c>
    </row>
    <row r="6">
      <c r="A6" s="18" t="inlineStr">
        <is>
          <t>平均融資維持率</t>
        </is>
      </c>
      <c r="B6" s="20">
        <f>AVERAGE(融資維持率走勢!B3:B63)</f>
        <v/>
      </c>
    </row>
    <row r="7">
      <c r="A7" s="18" t="inlineStr">
        <is>
          <t>警示日數 (≥170%)</t>
        </is>
      </c>
      <c r="B7" s="21">
        <f>COUNTIF(融資維持率走勢!B3:B63,"&gt;="&amp;170)</f>
        <v/>
      </c>
    </row>
    <row r="8">
      <c r="A8" s="18" t="inlineStr">
        <is>
          <t>資料起始日</t>
        </is>
      </c>
      <c r="B8" s="20">
        <f>融資維持率走勢!A3</f>
        <v/>
      </c>
    </row>
    <row r="9">
      <c r="A9" s="18" t="inlineStr">
        <is>
          <t>資料截止日</t>
        </is>
      </c>
      <c r="B9" s="20">
        <f>融資維持率走勢!A63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2026-04-10T17:57:34Z</dcterms:created>
  <dcterms:modified xmlns:dcterms="http://purl.org/dc/terms/" xmlns:xsi="http://www.w3.org/2001/XMLSchema-instance" xsi:type="dcterms:W3CDTF">2026-04-10T17:57:34Z</dcterms:modified>
</cp:coreProperties>
</file>